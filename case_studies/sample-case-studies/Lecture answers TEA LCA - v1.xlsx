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reyac-my.sharepoint.com/personal/js0042_surrey_ac_uk/Documents/GCSB/"/>
    </mc:Choice>
  </mc:AlternateContent>
  <xr:revisionPtr revIDLastSave="10" documentId="8_{A7FEB871-2F08-4C09-AD14-30B6A615CD34}" xr6:coauthVersionLast="47" xr6:coauthVersionMax="47" xr10:uidLastSave="{BDEE2018-6CF8-46A3-9D9A-BEF945298E30}"/>
  <bookViews>
    <workbookView xWindow="-110" yWindow="-110" windowWidth="19420" windowHeight="10300" activeTab="2" xr2:uid="{6DEC070F-72E3-4294-A68F-11CAA113CB4C}"/>
  </bookViews>
  <sheets>
    <sheet name="Balance" sheetId="1" r:id="rId1"/>
    <sheet name="TEA" sheetId="2" r:id="rId2"/>
    <sheet name="GW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  <c r="E17" i="1"/>
  <c r="G12" i="2"/>
  <c r="F8" i="3"/>
  <c r="B28" i="2" l="1"/>
  <c r="F28" i="2" s="1"/>
  <c r="B36" i="2" s="1"/>
  <c r="C21" i="2"/>
  <c r="F3" i="3"/>
  <c r="F7" i="3"/>
  <c r="F9" i="3"/>
  <c r="F15" i="3"/>
  <c r="F13" i="3"/>
  <c r="F11" i="3"/>
  <c r="F14" i="3"/>
  <c r="F2" i="3"/>
  <c r="F10" i="3"/>
  <c r="F6" i="3"/>
  <c r="F12" i="3"/>
  <c r="F16" i="3"/>
  <c r="F4" i="3"/>
  <c r="F5" i="3"/>
  <c r="H12" i="2"/>
  <c r="F16" i="2"/>
  <c r="F15" i="2"/>
  <c r="F14" i="2"/>
  <c r="F11" i="2"/>
  <c r="E6" i="1"/>
  <c r="J4" i="1"/>
  <c r="I4" i="1"/>
  <c r="H4" i="1"/>
  <c r="G4" i="1"/>
  <c r="F4" i="1"/>
  <c r="E4" i="1"/>
  <c r="F17" i="3" l="1"/>
  <c r="E5" i="1"/>
  <c r="F5" i="1" s="1"/>
  <c r="E8" i="1"/>
  <c r="E7" i="1"/>
  <c r="C2" i="2"/>
  <c r="F6" i="1"/>
  <c r="H10" i="1" l="1"/>
  <c r="F7" i="1"/>
  <c r="F14" i="1" s="1"/>
  <c r="G4" i="2" s="1"/>
  <c r="G6" i="1"/>
  <c r="G14" i="1" s="1"/>
  <c r="E14" i="1"/>
  <c r="J13" i="1" l="1"/>
  <c r="J14" i="1" s="1"/>
  <c r="I12" i="1"/>
  <c r="G13" i="2"/>
  <c r="H13" i="2" s="1"/>
  <c r="G7" i="2"/>
  <c r="H7" i="2" s="1"/>
  <c r="H4" i="2"/>
  <c r="G5" i="2"/>
  <c r="G9" i="2"/>
  <c r="H9" i="2" s="1"/>
  <c r="G8" i="2"/>
  <c r="H8" i="2" s="1"/>
  <c r="H14" i="1"/>
  <c r="B21" i="2" s="1"/>
  <c r="F22" i="2" l="1"/>
  <c r="G11" i="2"/>
  <c r="G14" i="2"/>
  <c r="B23" i="2"/>
  <c r="F23" i="2" s="1"/>
  <c r="B34" i="2"/>
  <c r="F21" i="2"/>
  <c r="B29" i="2"/>
  <c r="G29" i="2" s="1"/>
  <c r="B40" i="2" s="1"/>
  <c r="G6" i="2"/>
  <c r="H6" i="2" s="1"/>
  <c r="H5" i="2"/>
  <c r="I14" i="1"/>
  <c r="B35" i="2" l="1"/>
  <c r="G10" i="2"/>
  <c r="H10" i="2" s="1"/>
  <c r="H11" i="2"/>
  <c r="H14" i="2"/>
  <c r="G16" i="2"/>
  <c r="H16" i="2" s="1"/>
  <c r="G15" i="2"/>
  <c r="H15" i="2" s="1"/>
  <c r="H17" i="2" l="1"/>
  <c r="H18" i="2" l="1"/>
  <c r="B32" i="2" s="1"/>
  <c r="B33" i="2" l="1"/>
  <c r="F36" i="2"/>
  <c r="G36" i="2" s="1"/>
  <c r="B37" i="2" l="1"/>
  <c r="B38" i="2" s="1"/>
  <c r="B39" i="2" l="1"/>
  <c r="B41" i="2" l="1"/>
  <c r="F44" i="2" l="1"/>
  <c r="F45" i="2"/>
  <c r="F40" i="2"/>
  <c r="F41" i="2"/>
  <c r="F46" i="2"/>
  <c r="F38" i="2"/>
  <c r="F37" i="2"/>
  <c r="G37" i="2" s="1"/>
  <c r="F42" i="2"/>
  <c r="F43" i="2"/>
  <c r="F39" i="2"/>
  <c r="G38" i="2" l="1"/>
  <c r="G39" i="2" s="1"/>
  <c r="G40" i="2" s="1"/>
  <c r="G41" i="2" s="1"/>
  <c r="G42" i="2" s="1"/>
  <c r="G43" i="2" s="1"/>
  <c r="G44" i="2" s="1"/>
  <c r="G45" i="2" s="1"/>
  <c r="G46" i="2" s="1"/>
</calcChain>
</file>

<file path=xl/sharedStrings.xml><?xml version="1.0" encoding="utf-8"?>
<sst xmlns="http://schemas.openxmlformats.org/spreadsheetml/2006/main" count="174" uniqueCount="120">
  <si>
    <t>Dry biomass</t>
  </si>
  <si>
    <t>Hemicellulose</t>
  </si>
  <si>
    <t>Cellulose</t>
  </si>
  <si>
    <t>Lignin</t>
  </si>
  <si>
    <t>Ash</t>
  </si>
  <si>
    <t>mass %</t>
  </si>
  <si>
    <t>PHA copolymer</t>
  </si>
  <si>
    <t>Recovery rate to fermenter</t>
  </si>
  <si>
    <t>Fermenter feedstock</t>
  </si>
  <si>
    <t>Fibers as biofillers</t>
  </si>
  <si>
    <t>PHA copolymers</t>
  </si>
  <si>
    <t>CHP feedstock</t>
  </si>
  <si>
    <t>PHA-biocomposite</t>
  </si>
  <si>
    <t>Total - Ash</t>
  </si>
  <si>
    <t>tpa</t>
  </si>
  <si>
    <t>Electricity generation</t>
  </si>
  <si>
    <t>Calorific value</t>
  </si>
  <si>
    <t>GJ/t</t>
  </si>
  <si>
    <t>Electrical efficiency</t>
  </si>
  <si>
    <t>GJ</t>
  </si>
  <si>
    <t>Capital cost estimation</t>
  </si>
  <si>
    <t>Production rate</t>
  </si>
  <si>
    <t>Operating days</t>
  </si>
  <si>
    <t>per year</t>
  </si>
  <si>
    <t>Unit</t>
  </si>
  <si>
    <t>Base cost, million $</t>
  </si>
  <si>
    <t>Scale factor</t>
  </si>
  <si>
    <t>Base size</t>
  </si>
  <si>
    <t>CEPCI-Base year</t>
  </si>
  <si>
    <t>Current size</t>
  </si>
  <si>
    <t>Current costs, million $</t>
  </si>
  <si>
    <t>Inoculation</t>
  </si>
  <si>
    <t>tph</t>
  </si>
  <si>
    <t>Fermenters</t>
  </si>
  <si>
    <t>Centrifugation</t>
  </si>
  <si>
    <t>Solvent extraction-recovery</t>
  </si>
  <si>
    <t>Washing</t>
  </si>
  <si>
    <t>Drying</t>
  </si>
  <si>
    <t>Anaerobic digestion</t>
  </si>
  <si>
    <t>tph wastewater</t>
  </si>
  <si>
    <t>CHP</t>
  </si>
  <si>
    <t>GWh</t>
  </si>
  <si>
    <t>Twin-screw extrusion</t>
  </si>
  <si>
    <t>Injection moulding</t>
  </si>
  <si>
    <t>3d printing</t>
  </si>
  <si>
    <t>Delivered cost of equipment</t>
  </si>
  <si>
    <t>Total capital investment</t>
  </si>
  <si>
    <t>Current CEPCI</t>
  </si>
  <si>
    <t>Basis (dry biomass):</t>
  </si>
  <si>
    <t>Mass % moisture in wet biomass</t>
  </si>
  <si>
    <t>tph wet biomass</t>
  </si>
  <si>
    <t>tph dry biomass</t>
  </si>
  <si>
    <t>Biomass handling</t>
  </si>
  <si>
    <t>Biomass pretreatment</t>
  </si>
  <si>
    <t>Opex parameters</t>
  </si>
  <si>
    <t>Quantity</t>
  </si>
  <si>
    <t>Price</t>
  </si>
  <si>
    <t>Product value million $/y</t>
  </si>
  <si>
    <t>Reagents</t>
  </si>
  <si>
    <t>$/kg</t>
  </si>
  <si>
    <t>Electricity</t>
  </si>
  <si>
    <t>$/MJ</t>
  </si>
  <si>
    <t>Heat</t>
  </si>
  <si>
    <t>Annual capital charge</t>
  </si>
  <si>
    <t>Internal rate on return</t>
  </si>
  <si>
    <t>Labor cost</t>
  </si>
  <si>
    <t>$/y</t>
  </si>
  <si>
    <t>Number of jobs</t>
  </si>
  <si>
    <t>Lignocellulose biomass</t>
  </si>
  <si>
    <t>$/dry t</t>
  </si>
  <si>
    <t>PHA biocomposite</t>
  </si>
  <si>
    <t>Inventory</t>
  </si>
  <si>
    <t>Flow per kg biocomposite</t>
  </si>
  <si>
    <t>Monoammonium phosphate</t>
  </si>
  <si>
    <t>kg</t>
  </si>
  <si>
    <t>per kg</t>
  </si>
  <si>
    <t>Sodium phosphate</t>
  </si>
  <si>
    <t>Ammonium chloride</t>
  </si>
  <si>
    <t>Magnesium sulphate</t>
  </si>
  <si>
    <t>Calcium chloride</t>
  </si>
  <si>
    <t>Manganese</t>
  </si>
  <si>
    <t>Citric acid</t>
  </si>
  <si>
    <t>Chemical</t>
  </si>
  <si>
    <t>Sodium hydroxide</t>
  </si>
  <si>
    <t>Sulfuric acid</t>
  </si>
  <si>
    <t>Solvent</t>
  </si>
  <si>
    <t>Lime</t>
  </si>
  <si>
    <t>Water</t>
  </si>
  <si>
    <t>Process steam</t>
  </si>
  <si>
    <t>MJ</t>
  </si>
  <si>
    <t>per MJ</t>
  </si>
  <si>
    <r>
      <t>GWP kg 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e</t>
    </r>
  </si>
  <si>
    <t>TJ/y</t>
  </si>
  <si>
    <t>Variable opex, million $/y</t>
  </si>
  <si>
    <t>million $/y</t>
  </si>
  <si>
    <t>Capex</t>
  </si>
  <si>
    <t>Indirect cost-dependent fixed Opex</t>
  </si>
  <si>
    <t>Variable Opex</t>
  </si>
  <si>
    <t>Opex</t>
  </si>
  <si>
    <t>Total cost (Capex+Opex)</t>
  </si>
  <si>
    <t>Product value - total cost</t>
  </si>
  <si>
    <t>per kt biocomposites</t>
  </si>
  <si>
    <t>Total capital investment/Delivered cost of equipment</t>
  </si>
  <si>
    <t>Indirect cost-dependent fixed Opex/Capex</t>
  </si>
  <si>
    <t>Discounted cash flow analysis</t>
  </si>
  <si>
    <t>year</t>
  </si>
  <si>
    <t>Cash flow million $/y</t>
  </si>
  <si>
    <t>Net present value million $/y</t>
  </si>
  <si>
    <r>
      <t>GWP kg 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e/kg biocomposite</t>
    </r>
  </si>
  <si>
    <t>Electricity consumption by the process</t>
  </si>
  <si>
    <r>
      <t xml:space="preserve">For any material and concept use Cite: </t>
    </r>
    <r>
      <rPr>
        <sz val="11"/>
        <color theme="1"/>
        <rFont val="Aptos Narrow"/>
        <family val="2"/>
      </rPr>
      <t>©</t>
    </r>
    <r>
      <rPr>
        <sz val="11"/>
        <color theme="1"/>
        <rFont val="Aptos Narrow"/>
        <family val="2"/>
        <scheme val="minor"/>
      </rPr>
      <t xml:space="preserve">Sadhukhan J, Ng KS, Martinez-Hernandez E. 2014. </t>
    </r>
    <r>
      <rPr>
        <i/>
        <sz val="11"/>
        <color theme="1"/>
        <rFont val="Aptos Narrow"/>
        <family val="2"/>
        <scheme val="minor"/>
      </rPr>
      <t>Biorefineries and Chemical Processes: Design, Integration and Sustainability Analysis</t>
    </r>
    <r>
      <rPr>
        <sz val="11"/>
        <color theme="1"/>
        <rFont val="Aptos Narrow"/>
        <family val="2"/>
        <scheme val="minor"/>
      </rPr>
      <t>. Wiley. https://onlinelibrary.wiley.com/doi/book/10.1002/9781118698129</t>
    </r>
  </si>
  <si>
    <t>Transport</t>
  </si>
  <si>
    <t>ktkm</t>
  </si>
  <si>
    <t>per ktkm</t>
  </si>
  <si>
    <t>Final biocomposite recovery</t>
  </si>
  <si>
    <t>Miscellaneous Opex</t>
  </si>
  <si>
    <t>Feedstock cost</t>
  </si>
  <si>
    <t>Product value</t>
  </si>
  <si>
    <t>Labor cost-dependent fixed Opex</t>
  </si>
  <si>
    <t>MWh/t (biofiller + copolymer)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</si>
</sst>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/>
    </xf>
    <xf numFmtId="2" fontId="0" fillId="0" borderId="1" xfId="0" applyNumberFormat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 vertical="top"/>
    </xf>
    <xf numFmtId="2" fontId="0" fillId="0" borderId="0" xfId="0" applyNumberFormat="1"/>
    <xf numFmtId="2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0" borderId="0" xfId="0" applyNumberFormat="1"/>
    <xf numFmtId="0" fontId="0" fillId="0" borderId="2" xfId="0" applyBorder="1" applyAlignment="1">
      <alignment vertical="top"/>
    </xf>
    <xf numFmtId="1" fontId="0" fillId="0" borderId="1" xfId="0" applyNumberFormat="1" applyBorder="1" applyAlignment="1">
      <alignment vertical="top"/>
    </xf>
    <xf numFmtId="2" fontId="0" fillId="0" borderId="0" xfId="0" applyNumberFormat="1" applyAlignment="1">
      <alignment vertical="top"/>
    </xf>
    <xf numFmtId="1" fontId="0" fillId="2" borderId="1" xfId="0" applyNumberFormat="1" applyFill="1" applyBorder="1" applyAlignment="1">
      <alignment vertical="top"/>
    </xf>
    <xf numFmtId="0" fontId="0" fillId="0" borderId="3" xfId="0" applyBorder="1" applyAlignment="1">
      <alignment vertical="top"/>
    </xf>
    <xf numFmtId="2" fontId="0" fillId="0" borderId="3" xfId="0" applyNumberFormat="1" applyBorder="1" applyAlignment="1">
      <alignment vertical="top"/>
    </xf>
    <xf numFmtId="0" fontId="0" fillId="0" borderId="0" xfId="0" applyFill="1" applyBorder="1" applyAlignment="1">
      <alignment vertical="top"/>
    </xf>
    <xf numFmtId="2" fontId="0" fillId="0" borderId="0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TEA!$G$35</c:f>
              <c:strCache>
                <c:ptCount val="1"/>
                <c:pt idx="0">
                  <c:v>Net present value million $/y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TEA!$E$36:$E$46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TEA!$G$36:$G$46</c:f>
              <c:numCache>
                <c:formatCode>0.00</c:formatCode>
                <c:ptCount val="11"/>
                <c:pt idx="0">
                  <c:v>-16.179969594666002</c:v>
                </c:pt>
                <c:pt idx="1">
                  <c:v>-12.173335346872008</c:v>
                </c:pt>
                <c:pt idx="2">
                  <c:v>-8.5309405761501971</c:v>
                </c:pt>
                <c:pt idx="3">
                  <c:v>-5.2196726027667326</c:v>
                </c:pt>
                <c:pt idx="4">
                  <c:v>-2.2094289905999469</c:v>
                </c:pt>
                <c:pt idx="5">
                  <c:v>0.5271561113698584</c:v>
                </c:pt>
                <c:pt idx="6">
                  <c:v>3.0149607495242265</c:v>
                </c:pt>
                <c:pt idx="7">
                  <c:v>5.2766013296645609</c:v>
                </c:pt>
                <c:pt idx="8">
                  <c:v>7.3326382207012291</c:v>
                </c:pt>
                <c:pt idx="9">
                  <c:v>9.2017626670981993</c:v>
                </c:pt>
                <c:pt idx="10">
                  <c:v>10.900966709277263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EC-4B11-80FE-D42302803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426560"/>
        <c:axId val="1160443360"/>
      </c:scatterChart>
      <c:valAx>
        <c:axId val="116042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443360"/>
        <c:crosses val="autoZero"/>
        <c:crossBetween val="midCat"/>
      </c:valAx>
      <c:valAx>
        <c:axId val="116044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Net present value million $/y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42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GWP</a:t>
            </a:r>
            <a:r>
              <a:rPr lang="en-GB" baseline="0"/>
              <a:t> contributions</a:t>
            </a:r>
            <a:endParaRPr lang="en-GB"/>
          </a:p>
        </c:rich>
      </c:tx>
      <c:layout>
        <c:manualLayout>
          <c:xMode val="edge"/>
          <c:yMode val="edge"/>
          <c:x val="0.64986563205990189"/>
          <c:y val="1.4637500007203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9.6466127829662227E-2"/>
          <c:y val="3.2824593766153834E-2"/>
          <c:w val="0.49907721913439185"/>
          <c:h val="0.9269222812140365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747-47EC-B0A2-6D38997FFF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47-47EC-B0A2-6D38997FFF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747-47EC-B0A2-6D38997FFF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747-47EC-B0A2-6D38997FFF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747-47EC-B0A2-6D38997FFF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747-47EC-B0A2-6D38997FFF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747-47EC-B0A2-6D38997FFF9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A1-4C36-80AE-114E2179B3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5A1-4C36-80AE-114E2179B3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A5A1-4C36-80AE-114E2179B3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5A1-4C36-80AE-114E2179B3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5A1-4C36-80AE-114E2179B3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A1-4C36-80AE-114E2179B3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5A1-4C36-80AE-114E2179B3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B91-45CE-A100-643C40F1C355}"/>
              </c:ext>
            </c:extLst>
          </c:dPt>
          <c:dLbls>
            <c:dLbl>
              <c:idx val="8"/>
              <c:layout>
                <c:manualLayout>
                  <c:x val="3.2976849494564933E-2"/>
                  <c:y val="0.2043521782501733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A1-4C36-80AE-114E2179B31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5A1-4C36-80AE-114E2179B31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A1-4C36-80AE-114E2179B31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5A1-4C36-80AE-114E2179B31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A1-4C36-80AE-114E2179B31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A1-4C36-80AE-114E2179B31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B91-45CE-A100-643C40F1C355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GWP!$A$2:$A$16</c:f>
              <c:strCache>
                <c:ptCount val="15"/>
                <c:pt idx="0">
                  <c:v>Sodium hydroxide</c:v>
                </c:pt>
                <c:pt idx="1">
                  <c:v>Sodium phosphate</c:v>
                </c:pt>
                <c:pt idx="2">
                  <c:v>Process steam</c:v>
                </c:pt>
                <c:pt idx="3">
                  <c:v>Monoammonium phosphate</c:v>
                </c:pt>
                <c:pt idx="4">
                  <c:v>Solvent</c:v>
                </c:pt>
                <c:pt idx="5">
                  <c:v>Ammonium chloride</c:v>
                </c:pt>
                <c:pt idx="6">
                  <c:v>Transport</c:v>
                </c:pt>
                <c:pt idx="7">
                  <c:v>Magnesium sulphate</c:v>
                </c:pt>
                <c:pt idx="8">
                  <c:v>Sulfuric acid</c:v>
                </c:pt>
                <c:pt idx="9">
                  <c:v>Citric acid</c:v>
                </c:pt>
                <c:pt idx="10">
                  <c:v>Lime</c:v>
                </c:pt>
                <c:pt idx="11">
                  <c:v>Manganese</c:v>
                </c:pt>
                <c:pt idx="12">
                  <c:v>Chemical</c:v>
                </c:pt>
                <c:pt idx="13">
                  <c:v>Calcium chloride</c:v>
                </c:pt>
                <c:pt idx="14">
                  <c:v>Water</c:v>
                </c:pt>
              </c:strCache>
            </c:strRef>
          </c:cat>
          <c:val>
            <c:numRef>
              <c:f>GWP!$F$2:$F$16</c:f>
              <c:numCache>
                <c:formatCode>0.0000</c:formatCode>
                <c:ptCount val="15"/>
                <c:pt idx="0">
                  <c:v>0.52529075999999997</c:v>
                </c:pt>
                <c:pt idx="1">
                  <c:v>0.40882510000000005</c:v>
                </c:pt>
                <c:pt idx="2">
                  <c:v>0.15666631</c:v>
                </c:pt>
                <c:pt idx="3">
                  <c:v>0.10577696</c:v>
                </c:pt>
                <c:pt idx="4">
                  <c:v>8.5517496999999998E-2</c:v>
                </c:pt>
                <c:pt idx="5">
                  <c:v>8.0073948000000006E-2</c:v>
                </c:pt>
                <c:pt idx="6">
                  <c:v>5.4090588999999994E-2</c:v>
                </c:pt>
                <c:pt idx="7">
                  <c:v>3.3849957999999999E-2</c:v>
                </c:pt>
                <c:pt idx="8">
                  <c:v>3.3419571000000002E-2</c:v>
                </c:pt>
                <c:pt idx="9">
                  <c:v>1.5386272999999999E-2</c:v>
                </c:pt>
                <c:pt idx="10">
                  <c:v>9.2369311999999995E-3</c:v>
                </c:pt>
                <c:pt idx="11">
                  <c:v>1.3944163E-3</c:v>
                </c:pt>
                <c:pt idx="12">
                  <c:v>1.0830872E-3</c:v>
                </c:pt>
                <c:pt idx="13">
                  <c:v>4.1027404999999993E-4</c:v>
                </c:pt>
                <c:pt idx="14">
                  <c:v>5.3631341999999997E-5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1-4C36-80AE-114E2179B31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263153583439833"/>
          <c:y val="0.10840106058484306"/>
          <c:w val="0.25554669181197981"/>
          <c:h val="0.845297184471110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117475</xdr:colOff>
      <xdr:row>41</xdr:row>
      <xdr:rowOff>107956</xdr:rowOff>
    </xdr:from>
    <xdr:to>
      <xdr:col>3</xdr:col>
      <xdr:colOff>200025</xdr:colOff>
      <xdr:row>56</xdr:row>
      <xdr:rowOff>88906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5B2A9B-23E9-D77F-228A-7AE9C6458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377825</xdr:colOff>
      <xdr:row>0</xdr:row>
      <xdr:rowOff>48868</xdr:rowOff>
    </xdr:from>
    <xdr:to>
      <xdr:col>17</xdr:col>
      <xdr:colOff>75339</xdr:colOff>
      <xdr:row>19</xdr:row>
      <xdr:rowOff>21525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7044CF-9FFB-8D63-3D4E-BD4FE10F7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EB30-FA41-4FA4-A806-322316546E65}">
  <dimension ref="A1:J18"/>
  <sheetViews>
    <sheetView topLeftCell="A2" zoomScale="75" zoomScaleNormal="75" workbookViewId="0">
      <selection activeCell="F19" sqref="F19"/>
    </sheetView>
  </sheetViews>
  <sheetFormatPr defaultRowHeight="14.5" x14ac:dyDescent="0.35"/>
  <cols>
    <col min="1" max="1" width="27.08984375" style="3" customWidth="1"/>
    <col min="2" max="2" width="10.90625" style="3" customWidth="1"/>
    <col min="3" max="3" width="8.7265625" style="3"/>
    <col min="4" max="4" width="33.26953125" style="3" customWidth="1"/>
    <col min="5" max="5" width="10.90625" style="3" customWidth="1"/>
    <col min="6" max="6" width="27.54296875" style="3" customWidth="1"/>
    <col min="7" max="7" width="15" style="3" customWidth="1"/>
    <col min="8" max="8" width="14.08984375" style="3" customWidth="1"/>
    <col min="9" max="9" width="12.90625" style="3" customWidth="1"/>
    <col min="10" max="10" width="16.6328125" style="3" customWidth="1"/>
    <col min="11" max="16384" width="8.7265625" style="3"/>
  </cols>
  <sheetData>
    <row r="1" spans="1:10" x14ac:dyDescent="0.35">
      <c r="A1" s="5"/>
      <c r="B1" s="5" t="s">
        <v>0</v>
      </c>
      <c r="D1" s="5" t="s">
        <v>48</v>
      </c>
      <c r="E1" s="6">
        <v>3500</v>
      </c>
      <c r="F1" s="5" t="s">
        <v>14</v>
      </c>
    </row>
    <row r="2" spans="1:10" x14ac:dyDescent="0.35">
      <c r="A2" s="5"/>
      <c r="B2" s="6" t="s">
        <v>5</v>
      </c>
    </row>
    <row r="3" spans="1:10" x14ac:dyDescent="0.35">
      <c r="A3" s="5" t="s">
        <v>1</v>
      </c>
      <c r="B3" s="6">
        <v>30</v>
      </c>
      <c r="D3" s="1"/>
      <c r="E3" s="1" t="s">
        <v>0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</row>
    <row r="4" spans="1:10" x14ac:dyDescent="0.35">
      <c r="A4" s="5" t="s">
        <v>2</v>
      </c>
      <c r="B4" s="6">
        <v>46</v>
      </c>
      <c r="D4" s="1"/>
      <c r="E4" s="2" t="str">
        <f>F1</f>
        <v>tpa</v>
      </c>
      <c r="F4" s="2" t="str">
        <f>F1</f>
        <v>tpa</v>
      </c>
      <c r="G4" s="2" t="str">
        <f>F1</f>
        <v>tpa</v>
      </c>
      <c r="H4" s="2" t="str">
        <f>F1</f>
        <v>tpa</v>
      </c>
      <c r="I4" s="2" t="str">
        <f>F1</f>
        <v>tpa</v>
      </c>
      <c r="J4" s="2" t="str">
        <f>F1</f>
        <v>tpa</v>
      </c>
    </row>
    <row r="5" spans="1:10" x14ac:dyDescent="0.35">
      <c r="A5" s="5" t="s">
        <v>3</v>
      </c>
      <c r="B5" s="6">
        <v>20</v>
      </c>
      <c r="D5" s="1" t="s">
        <v>1</v>
      </c>
      <c r="E5" s="4">
        <f>B3/100*$E$1</f>
        <v>1050</v>
      </c>
      <c r="F5" s="4">
        <f>E5*B11</f>
        <v>997.5</v>
      </c>
      <c r="G5" s="4"/>
      <c r="H5" s="4"/>
      <c r="I5" s="4"/>
      <c r="J5" s="4"/>
    </row>
    <row r="6" spans="1:10" x14ac:dyDescent="0.35">
      <c r="A6" s="5" t="s">
        <v>4</v>
      </c>
      <c r="B6" s="6">
        <v>4</v>
      </c>
      <c r="D6" s="1" t="s">
        <v>2</v>
      </c>
      <c r="E6" s="4">
        <f t="shared" ref="E6:E8" si="0">B4/100*$E$1</f>
        <v>1610</v>
      </c>
      <c r="F6" s="4">
        <f>E6*B12</f>
        <v>1400.7</v>
      </c>
      <c r="G6" s="4">
        <f>E6-F6</f>
        <v>209.29999999999995</v>
      </c>
      <c r="H6" s="4"/>
      <c r="I6" s="4"/>
      <c r="J6" s="4"/>
    </row>
    <row r="7" spans="1:10" x14ac:dyDescent="0.35">
      <c r="D7" s="1" t="s">
        <v>3</v>
      </c>
      <c r="E7" s="4">
        <f t="shared" si="0"/>
        <v>700</v>
      </c>
      <c r="F7" s="4">
        <f>E7*B13</f>
        <v>553</v>
      </c>
      <c r="G7" s="4"/>
      <c r="H7" s="4"/>
      <c r="I7" s="4"/>
      <c r="J7" s="4"/>
    </row>
    <row r="8" spans="1:10" x14ac:dyDescent="0.35">
      <c r="A8" s="5" t="s">
        <v>49</v>
      </c>
      <c r="B8" s="5">
        <v>76</v>
      </c>
      <c r="D8" s="1" t="s">
        <v>4</v>
      </c>
      <c r="E8" s="4">
        <f t="shared" si="0"/>
        <v>140</v>
      </c>
      <c r="F8" s="4"/>
      <c r="G8" s="4"/>
      <c r="H8" s="4"/>
      <c r="I8" s="4"/>
      <c r="J8" s="4"/>
    </row>
    <row r="9" spans="1:10" x14ac:dyDescent="0.35">
      <c r="D9" s="1"/>
      <c r="E9" s="4"/>
      <c r="F9" s="4"/>
      <c r="G9" s="4"/>
      <c r="H9" s="4"/>
      <c r="I9" s="4"/>
      <c r="J9" s="4"/>
    </row>
    <row r="10" spans="1:10" x14ac:dyDescent="0.35">
      <c r="A10" s="3" t="s">
        <v>7</v>
      </c>
      <c r="D10" s="1" t="s">
        <v>10</v>
      </c>
      <c r="E10" s="4"/>
      <c r="F10" s="4"/>
      <c r="G10" s="4"/>
      <c r="H10" s="4">
        <f>(F5+F6)*B14</f>
        <v>839.36999999999989</v>
      </c>
      <c r="I10" s="4"/>
      <c r="J10" s="4"/>
    </row>
    <row r="11" spans="1:10" x14ac:dyDescent="0.35">
      <c r="A11" s="5" t="s">
        <v>1</v>
      </c>
      <c r="B11" s="5">
        <v>0.95</v>
      </c>
      <c r="D11" s="1"/>
      <c r="E11" s="4"/>
      <c r="F11" s="4"/>
      <c r="G11" s="4"/>
      <c r="H11" s="4"/>
      <c r="I11" s="4"/>
      <c r="J11" s="4"/>
    </row>
    <row r="12" spans="1:10" x14ac:dyDescent="0.35">
      <c r="A12" s="5" t="s">
        <v>2</v>
      </c>
      <c r="B12" s="5">
        <v>0.87</v>
      </c>
      <c r="D12" s="1" t="s">
        <v>11</v>
      </c>
      <c r="E12" s="4"/>
      <c r="F12" s="4"/>
      <c r="G12" s="4"/>
      <c r="H12" s="4"/>
      <c r="I12" s="4">
        <f>E7+F5+F6-G6-H10</f>
        <v>2049.5299999999997</v>
      </c>
      <c r="J12" s="4"/>
    </row>
    <row r="13" spans="1:10" x14ac:dyDescent="0.35">
      <c r="A13" s="5" t="s">
        <v>3</v>
      </c>
      <c r="B13" s="5">
        <v>0.79</v>
      </c>
      <c r="D13" s="1" t="s">
        <v>12</v>
      </c>
      <c r="E13" s="4"/>
      <c r="F13" s="4"/>
      <c r="G13" s="4"/>
      <c r="H13" s="4"/>
      <c r="I13" s="4"/>
      <c r="J13" s="4">
        <f>(H10+G6)*B15/100</f>
        <v>999.99073859999987</v>
      </c>
    </row>
    <row r="14" spans="1:10" x14ac:dyDescent="0.35">
      <c r="A14" s="5" t="s">
        <v>6</v>
      </c>
      <c r="B14" s="5">
        <v>0.35</v>
      </c>
      <c r="D14" s="1" t="s">
        <v>13</v>
      </c>
      <c r="E14" s="4">
        <f>SUM(E5:E7)</f>
        <v>3360</v>
      </c>
      <c r="F14" s="4">
        <f>SUM(F5:F7)</f>
        <v>2951.2</v>
      </c>
      <c r="G14" s="4">
        <f>SUM(G5:G7)</f>
        <v>209.29999999999995</v>
      </c>
      <c r="H14" s="4">
        <f>H10</f>
        <v>839.36999999999989</v>
      </c>
      <c r="I14" s="4">
        <f>I12</f>
        <v>2049.5299999999997</v>
      </c>
      <c r="J14" s="4">
        <f>J13</f>
        <v>999.99073859999987</v>
      </c>
    </row>
    <row r="15" spans="1:10" x14ac:dyDescent="0.35">
      <c r="A15" s="5" t="s">
        <v>114</v>
      </c>
      <c r="B15" s="14">
        <v>95.358000000000004</v>
      </c>
      <c r="E15" s="13"/>
      <c r="F15" s="13"/>
      <c r="G15" s="13"/>
      <c r="H15" s="13"/>
      <c r="I15" s="13"/>
      <c r="J15" s="13"/>
    </row>
    <row r="17" spans="1:6" x14ac:dyDescent="0.35">
      <c r="A17" s="5" t="s">
        <v>16</v>
      </c>
      <c r="B17" s="5">
        <v>20</v>
      </c>
      <c r="C17" s="5" t="s">
        <v>17</v>
      </c>
      <c r="D17" s="1" t="s">
        <v>15</v>
      </c>
      <c r="E17" s="12">
        <f>I12*B17*B18</f>
        <v>14346.709999999995</v>
      </c>
      <c r="F17" s="11" t="s">
        <v>19</v>
      </c>
    </row>
    <row r="18" spans="1:6" x14ac:dyDescent="0.35">
      <c r="A18" s="5" t="s">
        <v>18</v>
      </c>
      <c r="B18" s="5">
        <v>0.35</v>
      </c>
      <c r="C18" s="5"/>
      <c r="D18" s="5" t="s">
        <v>109</v>
      </c>
      <c r="E18" s="8">
        <v>2.6</v>
      </c>
      <c r="F18" s="5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F63D-D1EC-4801-BE33-F207A3561062}">
  <dimension ref="A1:K46"/>
  <sheetViews>
    <sheetView topLeftCell="A41" zoomScale="87" zoomScaleNormal="87" workbookViewId="0">
      <selection activeCell="B22" sqref="B22"/>
    </sheetView>
  </sheetViews>
  <sheetFormatPr defaultRowHeight="14.5" x14ac:dyDescent="0.35"/>
  <cols>
    <col min="1" max="1" width="30.1796875" style="3" customWidth="1"/>
    <col min="2" max="2" width="16.453125" style="3" customWidth="1"/>
    <col min="3" max="3" width="17.6328125" style="3" customWidth="1"/>
    <col min="4" max="4" width="8.7265625" style="3"/>
    <col min="5" max="5" width="15.453125" style="3" customWidth="1"/>
    <col min="6" max="6" width="21.6328125" style="3" customWidth="1"/>
    <col min="7" max="7" width="24.54296875" style="3" customWidth="1"/>
    <col min="8" max="8" width="19.81640625" style="3" customWidth="1"/>
    <col min="9" max="9" width="8.7265625" style="3"/>
    <col min="10" max="10" width="8.7265625" style="3" customWidth="1"/>
    <col min="11" max="11" width="10.54296875" style="3" customWidth="1"/>
    <col min="12" max="16384" width="8.7265625" style="3"/>
  </cols>
  <sheetData>
    <row r="1" spans="1:9" x14ac:dyDescent="0.35">
      <c r="A1" s="3" t="s">
        <v>110</v>
      </c>
    </row>
    <row r="2" spans="1:9" x14ac:dyDescent="0.35">
      <c r="A2" s="1" t="s">
        <v>20</v>
      </c>
      <c r="B2" s="1" t="s">
        <v>21</v>
      </c>
      <c r="C2" s="1">
        <f>Balance!E1</f>
        <v>3500</v>
      </c>
      <c r="D2" s="1" t="s">
        <v>14</v>
      </c>
      <c r="E2" s="5" t="s">
        <v>22</v>
      </c>
      <c r="F2" s="5">
        <v>290</v>
      </c>
      <c r="G2" s="5" t="s">
        <v>23</v>
      </c>
      <c r="H2" s="5" t="s">
        <v>47</v>
      </c>
      <c r="I2" s="5">
        <v>820</v>
      </c>
    </row>
    <row r="3" spans="1:9" x14ac:dyDescent="0.35">
      <c r="A3" s="5" t="s">
        <v>24</v>
      </c>
      <c r="B3" s="5" t="s">
        <v>25</v>
      </c>
      <c r="C3" s="5" t="s">
        <v>26</v>
      </c>
      <c r="D3" s="5" t="s">
        <v>27</v>
      </c>
      <c r="E3" s="5" t="s">
        <v>24</v>
      </c>
      <c r="F3" s="5" t="s">
        <v>28</v>
      </c>
      <c r="G3" s="1" t="s">
        <v>29</v>
      </c>
      <c r="H3" s="1" t="s">
        <v>30</v>
      </c>
    </row>
    <row r="4" spans="1:9" x14ac:dyDescent="0.35">
      <c r="A4" s="5" t="s">
        <v>31</v>
      </c>
      <c r="B4" s="5">
        <v>0.26</v>
      </c>
      <c r="C4" s="5">
        <v>0.6</v>
      </c>
      <c r="D4" s="5">
        <v>3.53</v>
      </c>
      <c r="E4" s="5" t="s">
        <v>32</v>
      </c>
      <c r="F4" s="5">
        <v>402</v>
      </c>
      <c r="G4" s="4">
        <f>(Balance!F14+Balance!E8)/TEA!F2/24</f>
        <v>0.44413793103448268</v>
      </c>
      <c r="H4" s="4">
        <f>B4*(G4/D4)^C4*$I$2/F4</f>
        <v>0.15289984428159803</v>
      </c>
    </row>
    <row r="5" spans="1:9" x14ac:dyDescent="0.35">
      <c r="A5" s="5" t="s">
        <v>33</v>
      </c>
      <c r="B5" s="5">
        <v>0.67</v>
      </c>
      <c r="C5" s="5">
        <v>0.8</v>
      </c>
      <c r="D5" s="5">
        <v>1.04</v>
      </c>
      <c r="E5" s="5" t="s">
        <v>32</v>
      </c>
      <c r="F5" s="5">
        <v>402</v>
      </c>
      <c r="G5" s="4">
        <f>G4</f>
        <v>0.44413793103448268</v>
      </c>
      <c r="H5" s="4">
        <f>B5*(G5/D5)^C5*$I$2/F5</f>
        <v>0.69191098022786102</v>
      </c>
    </row>
    <row r="6" spans="1:9" x14ac:dyDescent="0.35">
      <c r="A6" s="5" t="s">
        <v>34</v>
      </c>
      <c r="B6" s="5">
        <v>2.92</v>
      </c>
      <c r="C6" s="5">
        <v>0.7</v>
      </c>
      <c r="D6" s="5">
        <v>18.466000000000001</v>
      </c>
      <c r="E6" s="5" t="s">
        <v>32</v>
      </c>
      <c r="F6" s="5">
        <v>402</v>
      </c>
      <c r="G6" s="4">
        <f>G5</f>
        <v>0.44413793103448268</v>
      </c>
      <c r="H6" s="4">
        <f t="shared" ref="H6:H16" si="0">B6*(G6/D6)^C6*$I$2/F6</f>
        <v>0.43830071031584511</v>
      </c>
    </row>
    <row r="7" spans="1:9" x14ac:dyDescent="0.35">
      <c r="A7" s="5" t="s">
        <v>35</v>
      </c>
      <c r="B7" s="5">
        <v>2.96</v>
      </c>
      <c r="C7" s="5">
        <v>0.7</v>
      </c>
      <c r="D7" s="5">
        <v>18.466000000000001</v>
      </c>
      <c r="E7" s="5" t="s">
        <v>32</v>
      </c>
      <c r="F7" s="5">
        <v>402</v>
      </c>
      <c r="G7" s="4">
        <f>G4</f>
        <v>0.44413793103448268</v>
      </c>
      <c r="H7" s="4">
        <f t="shared" si="0"/>
        <v>0.44430482963524032</v>
      </c>
    </row>
    <row r="8" spans="1:9" x14ac:dyDescent="0.35">
      <c r="A8" s="5" t="s">
        <v>36</v>
      </c>
      <c r="B8" s="5">
        <v>0.41</v>
      </c>
      <c r="C8" s="5">
        <v>1</v>
      </c>
      <c r="D8" s="5">
        <v>33.5</v>
      </c>
      <c r="E8" s="5" t="s">
        <v>32</v>
      </c>
      <c r="F8" s="5">
        <v>394.3</v>
      </c>
      <c r="G8" s="4">
        <f>G4</f>
        <v>0.44413793103448268</v>
      </c>
      <c r="H8" s="4">
        <f t="shared" si="0"/>
        <v>1.1304308213973985E-2</v>
      </c>
    </row>
    <row r="9" spans="1:9" x14ac:dyDescent="0.35">
      <c r="A9" s="5" t="s">
        <v>37</v>
      </c>
      <c r="B9" s="5">
        <v>7.6</v>
      </c>
      <c r="C9" s="5">
        <v>0.8</v>
      </c>
      <c r="D9" s="5">
        <v>33.5</v>
      </c>
      <c r="E9" s="5" t="s">
        <v>32</v>
      </c>
      <c r="F9" s="5">
        <v>394.3</v>
      </c>
      <c r="G9" s="4">
        <f>G4</f>
        <v>0.44413793103448268</v>
      </c>
      <c r="H9" s="4">
        <f t="shared" si="0"/>
        <v>0.49748399594980952</v>
      </c>
    </row>
    <row r="10" spans="1:9" x14ac:dyDescent="0.35">
      <c r="A10" s="5" t="s">
        <v>38</v>
      </c>
      <c r="B10" s="5">
        <v>1.54</v>
      </c>
      <c r="C10" s="5">
        <v>0.6</v>
      </c>
      <c r="D10" s="5">
        <v>43</v>
      </c>
      <c r="E10" s="5" t="s">
        <v>39</v>
      </c>
      <c r="F10" s="5">
        <v>402</v>
      </c>
      <c r="G10" s="4">
        <f>(Balance!E1/((100-Balance!B8)/100)*(Balance!B8/100))/TEA!F2/24+Balance!I14/TEA!F2/24</f>
        <v>1.8869056513409963</v>
      </c>
      <c r="H10" s="4">
        <f t="shared" si="0"/>
        <v>0.48136837873432697</v>
      </c>
    </row>
    <row r="11" spans="1:9" x14ac:dyDescent="0.35">
      <c r="A11" s="5" t="s">
        <v>40</v>
      </c>
      <c r="B11" s="5">
        <v>1</v>
      </c>
      <c r="C11" s="5">
        <v>1</v>
      </c>
      <c r="D11" s="5">
        <v>5</v>
      </c>
      <c r="E11" s="5" t="s">
        <v>41</v>
      </c>
      <c r="F11" s="5">
        <f>I2</f>
        <v>820</v>
      </c>
      <c r="G11" s="4">
        <f>Balance!E17/1000/3.6</f>
        <v>3.9851972222222209</v>
      </c>
      <c r="H11" s="4">
        <f t="shared" si="0"/>
        <v>0.79703944444444408</v>
      </c>
    </row>
    <row r="12" spans="1:9" x14ac:dyDescent="0.35">
      <c r="A12" s="5" t="s">
        <v>52</v>
      </c>
      <c r="B12" s="5">
        <v>14.1</v>
      </c>
      <c r="C12" s="5">
        <v>0.78</v>
      </c>
      <c r="D12" s="5">
        <v>83.3</v>
      </c>
      <c r="E12" s="5" t="s">
        <v>50</v>
      </c>
      <c r="F12" s="5">
        <v>402</v>
      </c>
      <c r="G12" s="4">
        <f>(Balance!E1/((100-Balance!B8)/100))/TEA!F2/24</f>
        <v>2.095306513409962</v>
      </c>
      <c r="H12" s="4">
        <f t="shared" si="0"/>
        <v>1.6265855505756595</v>
      </c>
    </row>
    <row r="13" spans="1:9" x14ac:dyDescent="0.35">
      <c r="A13" s="5" t="s">
        <v>53</v>
      </c>
      <c r="B13" s="5">
        <v>5.62</v>
      </c>
      <c r="C13" s="5">
        <v>0.78</v>
      </c>
      <c r="D13" s="5">
        <v>83.3</v>
      </c>
      <c r="E13" s="5" t="s">
        <v>51</v>
      </c>
      <c r="F13" s="5">
        <v>402</v>
      </c>
      <c r="G13" s="4">
        <f>(Balance!E14+Balance!E8)/TEA!F2/24</f>
        <v>0.50287356321839083</v>
      </c>
      <c r="H13" s="4">
        <f t="shared" si="0"/>
        <v>0.21298983713895728</v>
      </c>
    </row>
    <row r="14" spans="1:9" x14ac:dyDescent="0.35">
      <c r="A14" s="5" t="s">
        <v>42</v>
      </c>
      <c r="B14" s="8">
        <v>7.792207792207792E-2</v>
      </c>
      <c r="C14" s="5">
        <v>1</v>
      </c>
      <c r="D14" s="5">
        <v>1</v>
      </c>
      <c r="E14" s="5" t="s">
        <v>32</v>
      </c>
      <c r="F14" s="5">
        <f>I2</f>
        <v>820</v>
      </c>
      <c r="G14" s="4">
        <f>(Balance!G14+Balance!H14)/TEA!F2/24</f>
        <v>0.15067097701149423</v>
      </c>
      <c r="H14" s="4">
        <f t="shared" si="0"/>
        <v>1.1740595611285265E-2</v>
      </c>
    </row>
    <row r="15" spans="1:9" x14ac:dyDescent="0.35">
      <c r="A15" s="5" t="s">
        <v>43</v>
      </c>
      <c r="B15" s="8">
        <v>0.10389610389610389</v>
      </c>
      <c r="C15" s="5">
        <v>1</v>
      </c>
      <c r="D15" s="5">
        <v>1</v>
      </c>
      <c r="E15" s="5" t="s">
        <v>32</v>
      </c>
      <c r="F15" s="5">
        <f>I2</f>
        <v>820</v>
      </c>
      <c r="G15" s="4">
        <f>G14</f>
        <v>0.15067097701149423</v>
      </c>
      <c r="H15" s="4">
        <f t="shared" si="0"/>
        <v>1.5654127481713687E-2</v>
      </c>
    </row>
    <row r="16" spans="1:9" x14ac:dyDescent="0.35">
      <c r="A16" s="5" t="s">
        <v>44</v>
      </c>
      <c r="B16" s="8">
        <v>7.792207792207792E-2</v>
      </c>
      <c r="C16" s="5">
        <v>1</v>
      </c>
      <c r="D16" s="5">
        <v>1</v>
      </c>
      <c r="E16" s="5" t="s">
        <v>32</v>
      </c>
      <c r="F16" s="5">
        <f>I2</f>
        <v>820</v>
      </c>
      <c r="G16" s="4">
        <f>G14</f>
        <v>0.15067097701149423</v>
      </c>
      <c r="H16" s="4">
        <f t="shared" si="0"/>
        <v>1.1740595611285265E-2</v>
      </c>
    </row>
    <row r="17" spans="1:11" x14ac:dyDescent="0.35">
      <c r="A17" s="1" t="s">
        <v>45</v>
      </c>
      <c r="B17" s="1"/>
      <c r="C17" s="1"/>
      <c r="D17" s="1"/>
      <c r="E17" s="1"/>
      <c r="F17" s="1"/>
      <c r="G17" s="4"/>
      <c r="H17" s="4">
        <f>SUM(H4:H16)</f>
        <v>5.3933231982220002</v>
      </c>
    </row>
    <row r="18" spans="1:11" x14ac:dyDescent="0.35">
      <c r="A18" s="1" t="s">
        <v>46</v>
      </c>
      <c r="B18" s="1"/>
      <c r="C18" s="1"/>
      <c r="D18" s="1"/>
      <c r="E18" s="1"/>
      <c r="F18" s="1"/>
      <c r="G18" s="4"/>
      <c r="H18" s="12">
        <f>F31*H17</f>
        <v>16.179969594666002</v>
      </c>
    </row>
    <row r="20" spans="1:11" x14ac:dyDescent="0.35">
      <c r="A20" s="5" t="s">
        <v>54</v>
      </c>
      <c r="B20" s="1" t="s">
        <v>55</v>
      </c>
      <c r="C20" s="1" t="s">
        <v>24</v>
      </c>
      <c r="D20" s="5" t="s">
        <v>56</v>
      </c>
      <c r="E20" s="5" t="s">
        <v>24</v>
      </c>
      <c r="F20" s="1" t="s">
        <v>93</v>
      </c>
      <c r="G20" s="1" t="s">
        <v>57</v>
      </c>
    </row>
    <row r="21" spans="1:11" x14ac:dyDescent="0.35">
      <c r="A21" s="5" t="s">
        <v>58</v>
      </c>
      <c r="B21" s="4">
        <f>(SUM(GWP!B2:B3)+SUM(GWP!B5:B7)+SUM(GWP!B9:B16))*(Balance!G14+Balance!H14)</f>
        <v>1215.1736279199999</v>
      </c>
      <c r="C21" s="1" t="str">
        <f>Balance!F1</f>
        <v>tpa</v>
      </c>
      <c r="D21" s="5">
        <v>0.26</v>
      </c>
      <c r="E21" s="5" t="s">
        <v>59</v>
      </c>
      <c r="F21" s="4">
        <f>B21*D21/1000</f>
        <v>0.31594514325919998</v>
      </c>
      <c r="G21" s="1"/>
    </row>
    <row r="22" spans="1:11" x14ac:dyDescent="0.35">
      <c r="A22" s="5" t="s">
        <v>60</v>
      </c>
      <c r="B22" s="4">
        <f>-Balance!E17/1000+Balance!E18*(Balance!G14+Balance!H14)*3.6/1000</f>
        <v>-4.5311587999999965</v>
      </c>
      <c r="C22" s="1" t="s">
        <v>92</v>
      </c>
      <c r="D22" s="8">
        <v>1.2319480519480521</v>
      </c>
      <c r="E22" s="5" t="s">
        <v>61</v>
      </c>
      <c r="F22" s="4">
        <f>B22*D22</f>
        <v>-5.5821522567272694</v>
      </c>
      <c r="G22" s="1"/>
    </row>
    <row r="23" spans="1:11" x14ac:dyDescent="0.35">
      <c r="A23" s="5" t="s">
        <v>62</v>
      </c>
      <c r="B23" s="4">
        <f>GWP!B4*Balance!J14/1000</f>
        <v>2.1999796249200001</v>
      </c>
      <c r="C23" s="1" t="s">
        <v>92</v>
      </c>
      <c r="D23" s="8">
        <v>0.29407792207792205</v>
      </c>
      <c r="E23" s="5" t="s">
        <v>61</v>
      </c>
      <c r="F23" s="4">
        <f>B23*D23</f>
        <v>0.64696543671023998</v>
      </c>
      <c r="G23" s="1"/>
    </row>
    <row r="24" spans="1:11" x14ac:dyDescent="0.35">
      <c r="A24" s="5" t="s">
        <v>63</v>
      </c>
      <c r="B24" s="1">
        <v>0.1</v>
      </c>
      <c r="C24" s="1"/>
      <c r="D24" s="5"/>
      <c r="E24" s="5"/>
      <c r="F24" s="4"/>
      <c r="G24" s="1"/>
    </row>
    <row r="25" spans="1:11" x14ac:dyDescent="0.35">
      <c r="A25" s="5" t="s">
        <v>64</v>
      </c>
      <c r="B25" s="1">
        <v>0.1</v>
      </c>
      <c r="C25" s="1"/>
      <c r="D25" s="5"/>
      <c r="E25" s="5"/>
      <c r="F25" s="4"/>
      <c r="G25" s="1"/>
    </row>
    <row r="26" spans="1:11" x14ac:dyDescent="0.35">
      <c r="A26" s="5" t="s">
        <v>65</v>
      </c>
      <c r="B26" s="1"/>
      <c r="C26" s="1"/>
      <c r="D26" s="5">
        <v>85000</v>
      </c>
      <c r="E26" s="5" t="s">
        <v>66</v>
      </c>
      <c r="F26" s="4"/>
      <c r="G26" s="1"/>
    </row>
    <row r="27" spans="1:11" x14ac:dyDescent="0.35">
      <c r="A27" s="5" t="s">
        <v>67</v>
      </c>
      <c r="B27" s="1">
        <v>23</v>
      </c>
      <c r="C27" s="1" t="s">
        <v>101</v>
      </c>
      <c r="D27" s="5"/>
      <c r="E27" s="5"/>
      <c r="F27" s="4"/>
      <c r="G27" s="1"/>
    </row>
    <row r="28" spans="1:11" x14ac:dyDescent="0.35">
      <c r="A28" s="5" t="s">
        <v>68</v>
      </c>
      <c r="B28" s="1">
        <f>Balance!E1</f>
        <v>3500</v>
      </c>
      <c r="C28" s="1" t="s">
        <v>14</v>
      </c>
      <c r="D28" s="5">
        <v>100</v>
      </c>
      <c r="E28" s="5" t="s">
        <v>69</v>
      </c>
      <c r="F28" s="4">
        <f>B28*D28/1000000</f>
        <v>0.35</v>
      </c>
      <c r="G28" s="1"/>
    </row>
    <row r="29" spans="1:11" x14ac:dyDescent="0.35">
      <c r="A29" s="5" t="s">
        <v>70</v>
      </c>
      <c r="B29" s="4">
        <f>Balance!J14</f>
        <v>999.99073859999987</v>
      </c>
      <c r="C29" s="1" t="s">
        <v>14</v>
      </c>
      <c r="D29" s="5">
        <v>7</v>
      </c>
      <c r="E29" s="5" t="s">
        <v>59</v>
      </c>
      <c r="F29" s="1"/>
      <c r="G29" s="4">
        <f>B29*D29/1000</f>
        <v>6.9999351701999997</v>
      </c>
    </row>
    <row r="31" spans="1:11" ht="58" x14ac:dyDescent="0.35">
      <c r="A31" s="1"/>
      <c r="B31" s="1" t="s">
        <v>94</v>
      </c>
      <c r="E31" s="9" t="s">
        <v>102</v>
      </c>
      <c r="F31" s="5">
        <v>3</v>
      </c>
      <c r="H31" s="17"/>
      <c r="I31" s="17"/>
      <c r="J31" s="17"/>
      <c r="K31" s="17"/>
    </row>
    <row r="32" spans="1:11" ht="43.5" x14ac:dyDescent="0.35">
      <c r="A32" s="1" t="s">
        <v>95</v>
      </c>
      <c r="B32" s="4">
        <f>H18*B24</f>
        <v>1.6179969594666002</v>
      </c>
      <c r="E32" s="9" t="s">
        <v>103</v>
      </c>
      <c r="F32" s="5">
        <v>0.06</v>
      </c>
      <c r="H32" s="17"/>
      <c r="I32" s="18"/>
      <c r="J32" s="17"/>
      <c r="K32" s="18"/>
    </row>
    <row r="33" spans="1:11" x14ac:dyDescent="0.35">
      <c r="A33" s="1" t="s">
        <v>96</v>
      </c>
      <c r="B33" s="4">
        <f>B32*F32</f>
        <v>9.707981756799601E-2</v>
      </c>
      <c r="H33" s="17"/>
      <c r="I33" s="18"/>
      <c r="J33" s="17"/>
      <c r="K33" s="18"/>
    </row>
    <row r="34" spans="1:11" x14ac:dyDescent="0.35">
      <c r="A34" s="1" t="s">
        <v>118</v>
      </c>
      <c r="B34" s="4">
        <f>B27*Balance!J14/1000*D26/1000000*1.9</f>
        <v>3.7144655985296993</v>
      </c>
      <c r="E34" s="3" t="s">
        <v>104</v>
      </c>
      <c r="H34" s="17"/>
      <c r="I34" s="18"/>
      <c r="J34" s="17"/>
      <c r="K34" s="18"/>
    </row>
    <row r="35" spans="1:11" x14ac:dyDescent="0.35">
      <c r="A35" s="1" t="s">
        <v>97</v>
      </c>
      <c r="B35" s="4">
        <f>SUM(F21:F23)</f>
        <v>-4.619241676757829</v>
      </c>
      <c r="E35" s="1" t="s">
        <v>105</v>
      </c>
      <c r="F35" s="1" t="s">
        <v>106</v>
      </c>
      <c r="G35" s="15" t="s">
        <v>107</v>
      </c>
      <c r="H35" s="17"/>
      <c r="I35" s="18"/>
      <c r="J35" s="17"/>
      <c r="K35" s="18"/>
    </row>
    <row r="36" spans="1:11" x14ac:dyDescent="0.35">
      <c r="A36" s="1" t="s">
        <v>116</v>
      </c>
      <c r="B36" s="4">
        <f>F28</f>
        <v>0.35</v>
      </c>
      <c r="E36" s="1">
        <v>0</v>
      </c>
      <c r="F36" s="4">
        <f>-H18</f>
        <v>-16.179969594666002</v>
      </c>
      <c r="G36" s="16">
        <f>F36</f>
        <v>-16.179969594666002</v>
      </c>
      <c r="H36" s="17"/>
      <c r="I36" s="18"/>
      <c r="J36" s="17"/>
      <c r="K36" s="18"/>
    </row>
    <row r="37" spans="1:11" x14ac:dyDescent="0.35">
      <c r="A37" s="1" t="s">
        <v>115</v>
      </c>
      <c r="B37" s="4">
        <f>0.3*(B33+B34+F21+F23)</f>
        <v>1.4323367988201405</v>
      </c>
      <c r="E37" s="1">
        <v>1</v>
      </c>
      <c r="F37" s="1">
        <f t="shared" ref="F37:F46" si="1">$B$41/(1+$B$25)^E37</f>
        <v>4.0066342477939925</v>
      </c>
      <c r="G37" s="16">
        <f>G36+F37</f>
        <v>-12.173335346872008</v>
      </c>
      <c r="H37" s="17"/>
      <c r="I37" s="18"/>
      <c r="J37" s="17"/>
      <c r="K37" s="18"/>
    </row>
    <row r="38" spans="1:11" x14ac:dyDescent="0.35">
      <c r="A38" s="1" t="s">
        <v>98</v>
      </c>
      <c r="B38" s="4">
        <f>SUM(B33:B37)</f>
        <v>0.97464053816000662</v>
      </c>
      <c r="C38" s="13"/>
      <c r="E38" s="1">
        <v>2</v>
      </c>
      <c r="F38" s="1">
        <f t="shared" si="1"/>
        <v>3.6423947707218112</v>
      </c>
      <c r="G38" s="16">
        <f t="shared" ref="G38:G39" si="2">G37+F38</f>
        <v>-8.5309405761501971</v>
      </c>
      <c r="H38" s="17"/>
      <c r="I38" s="18"/>
      <c r="J38" s="17"/>
      <c r="K38" s="18"/>
    </row>
    <row r="39" spans="1:11" x14ac:dyDescent="0.35">
      <c r="A39" s="1" t="s">
        <v>99</v>
      </c>
      <c r="B39" s="4">
        <f>B32+B38</f>
        <v>2.5926374976266069</v>
      </c>
      <c r="E39" s="1">
        <v>3</v>
      </c>
      <c r="F39" s="1">
        <f t="shared" si="1"/>
        <v>3.3112679733834645</v>
      </c>
      <c r="G39" s="16">
        <f t="shared" si="2"/>
        <v>-5.2196726027667326</v>
      </c>
      <c r="H39" s="17"/>
      <c r="I39" s="18"/>
      <c r="J39" s="17"/>
      <c r="K39" s="18"/>
    </row>
    <row r="40" spans="1:11" x14ac:dyDescent="0.35">
      <c r="A40" s="1" t="s">
        <v>117</v>
      </c>
      <c r="B40" s="4">
        <f>G29</f>
        <v>6.9999351701999997</v>
      </c>
      <c r="E40" s="1">
        <v>4</v>
      </c>
      <c r="F40" s="1">
        <f t="shared" si="1"/>
        <v>3.0102436121667857</v>
      </c>
      <c r="G40" s="16">
        <f t="shared" ref="G40:G46" si="3">G39+F40</f>
        <v>-2.2094289905999469</v>
      </c>
      <c r="H40" s="17"/>
      <c r="I40" s="18"/>
      <c r="J40" s="17"/>
      <c r="K40" s="17"/>
    </row>
    <row r="41" spans="1:11" x14ac:dyDescent="0.35">
      <c r="A41" s="1" t="s">
        <v>100</v>
      </c>
      <c r="B41" s="4">
        <f>B40-B39</f>
        <v>4.4072976725733923</v>
      </c>
      <c r="E41" s="1">
        <v>5</v>
      </c>
      <c r="F41" s="1">
        <f t="shared" si="1"/>
        <v>2.7365851019698053</v>
      </c>
      <c r="G41" s="16">
        <f t="shared" si="3"/>
        <v>0.5271561113698584</v>
      </c>
      <c r="H41" s="17"/>
      <c r="I41" s="18"/>
      <c r="J41" s="17"/>
      <c r="K41" s="17"/>
    </row>
    <row r="42" spans="1:11" x14ac:dyDescent="0.35">
      <c r="E42" s="1">
        <v>6</v>
      </c>
      <c r="F42" s="1">
        <f t="shared" si="1"/>
        <v>2.4878046381543681</v>
      </c>
      <c r="G42" s="4">
        <f t="shared" si="3"/>
        <v>3.0149607495242265</v>
      </c>
      <c r="I42" s="13"/>
    </row>
    <row r="43" spans="1:11" x14ac:dyDescent="0.35">
      <c r="E43" s="1">
        <v>7</v>
      </c>
      <c r="F43" s="1">
        <f t="shared" si="1"/>
        <v>2.2616405801403343</v>
      </c>
      <c r="G43" s="4">
        <f t="shared" si="3"/>
        <v>5.2766013296645609</v>
      </c>
    </row>
    <row r="44" spans="1:11" x14ac:dyDescent="0.35">
      <c r="E44" s="1">
        <v>8</v>
      </c>
      <c r="F44" s="1">
        <f t="shared" si="1"/>
        <v>2.0560368910366678</v>
      </c>
      <c r="G44" s="4">
        <f t="shared" si="3"/>
        <v>7.3326382207012291</v>
      </c>
    </row>
    <row r="45" spans="1:11" x14ac:dyDescent="0.35">
      <c r="E45" s="1">
        <v>9</v>
      </c>
      <c r="F45" s="1">
        <f t="shared" si="1"/>
        <v>1.8691244463969703</v>
      </c>
      <c r="G45" s="4">
        <f t="shared" si="3"/>
        <v>9.2017626670981993</v>
      </c>
    </row>
    <row r="46" spans="1:11" x14ac:dyDescent="0.35">
      <c r="E46" s="1">
        <v>10</v>
      </c>
      <c r="F46" s="1">
        <f t="shared" si="1"/>
        <v>1.6992040421790637</v>
      </c>
      <c r="G46" s="4">
        <f t="shared" si="3"/>
        <v>10.900966709277263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E6A7C-3667-47FA-A4C3-3FE1FD44A1D1}">
  <dimension ref="A1:F17"/>
  <sheetViews>
    <sheetView tabSelected="1" zoomScale="59" zoomScaleNormal="59" workbookViewId="0">
      <selection activeCell="U13" sqref="U13"/>
    </sheetView>
  </sheetViews>
  <sheetFormatPr defaultRowHeight="14.5" x14ac:dyDescent="0.35"/>
  <cols>
    <col min="1" max="1" width="34.6328125" customWidth="1"/>
    <col min="2" max="2" width="14.453125" customWidth="1"/>
    <col min="3" max="19" width="10.6328125" customWidth="1"/>
  </cols>
  <sheetData>
    <row r="1" spans="1:6" ht="16.5" x14ac:dyDescent="0.45">
      <c r="A1" t="s">
        <v>71</v>
      </c>
      <c r="B1" t="s">
        <v>72</v>
      </c>
      <c r="C1" t="s">
        <v>24</v>
      </c>
      <c r="D1" t="s">
        <v>91</v>
      </c>
      <c r="E1" t="s">
        <v>24</v>
      </c>
      <c r="F1" t="s">
        <v>108</v>
      </c>
    </row>
    <row r="2" spans="1:6" x14ac:dyDescent="0.35">
      <c r="A2" t="s">
        <v>83</v>
      </c>
      <c r="B2">
        <v>0.4</v>
      </c>
      <c r="C2" t="s">
        <v>74</v>
      </c>
      <c r="D2" s="7">
        <v>1.3132268999999999</v>
      </c>
      <c r="E2" t="s">
        <v>75</v>
      </c>
      <c r="F2" s="10">
        <f t="shared" ref="F2:F16" si="0">B2*D2</f>
        <v>0.52529075999999997</v>
      </c>
    </row>
    <row r="3" spans="1:6" x14ac:dyDescent="0.35">
      <c r="A3" t="s">
        <v>76</v>
      </c>
      <c r="B3">
        <v>0.14499999999999999</v>
      </c>
      <c r="C3" t="s">
        <v>74</v>
      </c>
      <c r="D3" s="7">
        <v>2.8194834482758626</v>
      </c>
      <c r="E3" t="s">
        <v>75</v>
      </c>
      <c r="F3" s="10">
        <f t="shared" si="0"/>
        <v>0.40882510000000005</v>
      </c>
    </row>
    <row r="4" spans="1:6" x14ac:dyDescent="0.35">
      <c r="A4" t="s">
        <v>88</v>
      </c>
      <c r="B4">
        <v>2.2000000000000002</v>
      </c>
      <c r="C4" t="s">
        <v>89</v>
      </c>
      <c r="D4" s="7">
        <v>7.1211959090909091E-2</v>
      </c>
      <c r="E4" t="s">
        <v>90</v>
      </c>
      <c r="F4" s="10">
        <f t="shared" si="0"/>
        <v>0.15666631</v>
      </c>
    </row>
    <row r="5" spans="1:6" x14ac:dyDescent="0.35">
      <c r="A5" t="s">
        <v>73</v>
      </c>
      <c r="B5">
        <v>0.115</v>
      </c>
      <c r="C5" t="s">
        <v>74</v>
      </c>
      <c r="D5" s="7">
        <v>0.91979965217391302</v>
      </c>
      <c r="E5" t="s">
        <v>75</v>
      </c>
      <c r="F5" s="10">
        <f t="shared" si="0"/>
        <v>0.10577696</v>
      </c>
    </row>
    <row r="6" spans="1:6" x14ac:dyDescent="0.35">
      <c r="A6" t="s">
        <v>85</v>
      </c>
      <c r="B6">
        <v>0.1</v>
      </c>
      <c r="C6" t="s">
        <v>74</v>
      </c>
      <c r="D6" s="7">
        <v>0.85517496999999998</v>
      </c>
      <c r="E6" t="s">
        <v>75</v>
      </c>
      <c r="F6" s="10">
        <f t="shared" si="0"/>
        <v>8.5517496999999998E-2</v>
      </c>
    </row>
    <row r="7" spans="1:6" x14ac:dyDescent="0.35">
      <c r="A7" t="s">
        <v>77</v>
      </c>
      <c r="B7">
        <v>0.05</v>
      </c>
      <c r="C7" t="s">
        <v>74</v>
      </c>
      <c r="D7" s="7">
        <v>1.6014789600000001</v>
      </c>
      <c r="E7" t="s">
        <v>75</v>
      </c>
      <c r="F7" s="10">
        <f t="shared" si="0"/>
        <v>8.0073948000000006E-2</v>
      </c>
    </row>
    <row r="8" spans="1:6" x14ac:dyDescent="0.35">
      <c r="A8" t="s">
        <v>111</v>
      </c>
      <c r="B8">
        <v>100</v>
      </c>
      <c r="C8" t="s">
        <v>112</v>
      </c>
      <c r="D8" s="10">
        <v>5.4090588999999997E-4</v>
      </c>
      <c r="E8" t="s">
        <v>113</v>
      </c>
      <c r="F8" s="10">
        <f t="shared" si="0"/>
        <v>5.4090588999999994E-2</v>
      </c>
    </row>
    <row r="9" spans="1:6" x14ac:dyDescent="0.35">
      <c r="A9" t="s">
        <v>78</v>
      </c>
      <c r="B9">
        <v>2.5000000000000001E-2</v>
      </c>
      <c r="C9" t="s">
        <v>74</v>
      </c>
      <c r="D9" s="7">
        <v>1.3539983199999999</v>
      </c>
      <c r="E9" t="s">
        <v>75</v>
      </c>
      <c r="F9" s="10">
        <f t="shared" si="0"/>
        <v>3.3849957999999999E-2</v>
      </c>
    </row>
    <row r="10" spans="1:6" x14ac:dyDescent="0.35">
      <c r="A10" t="s">
        <v>84</v>
      </c>
      <c r="B10">
        <v>0.2</v>
      </c>
      <c r="C10" t="s">
        <v>74</v>
      </c>
      <c r="D10" s="7">
        <v>0.16709785499999999</v>
      </c>
      <c r="E10" t="s">
        <v>75</v>
      </c>
      <c r="F10" s="10">
        <f t="shared" si="0"/>
        <v>3.3419571000000002E-2</v>
      </c>
    </row>
    <row r="11" spans="1:6" x14ac:dyDescent="0.35">
      <c r="A11" t="s">
        <v>81</v>
      </c>
      <c r="B11">
        <v>2.5000000000000001E-3</v>
      </c>
      <c r="C11" t="s">
        <v>74</v>
      </c>
      <c r="D11" s="7">
        <v>6.1545091999999997</v>
      </c>
      <c r="E11" t="s">
        <v>75</v>
      </c>
      <c r="F11" s="10">
        <f t="shared" si="0"/>
        <v>1.5386272999999999E-2</v>
      </c>
    </row>
    <row r="12" spans="1:6" x14ac:dyDescent="0.35">
      <c r="A12" t="s">
        <v>86</v>
      </c>
      <c r="B12">
        <v>0.01</v>
      </c>
      <c r="C12" t="s">
        <v>74</v>
      </c>
      <c r="D12" s="7">
        <v>0.92369311999999992</v>
      </c>
      <c r="E12" t="s">
        <v>75</v>
      </c>
      <c r="F12" s="10">
        <f t="shared" si="0"/>
        <v>9.2369311999999995E-3</v>
      </c>
    </row>
    <row r="13" spans="1:6" x14ac:dyDescent="0.35">
      <c r="A13" t="s">
        <v>80</v>
      </c>
      <c r="B13">
        <v>2.5000000000000001E-4</v>
      </c>
      <c r="C13" t="s">
        <v>74</v>
      </c>
      <c r="D13" s="7">
        <v>5.5776652000000002</v>
      </c>
      <c r="E13" t="s">
        <v>75</v>
      </c>
      <c r="F13" s="10">
        <f t="shared" si="0"/>
        <v>1.3944163E-3</v>
      </c>
    </row>
    <row r="14" spans="1:6" x14ac:dyDescent="0.35">
      <c r="A14" t="s">
        <v>82</v>
      </c>
      <c r="B14">
        <v>5.2599999999999999E-4</v>
      </c>
      <c r="C14" t="s">
        <v>74</v>
      </c>
      <c r="D14" s="7">
        <v>2.0591011406844109</v>
      </c>
      <c r="E14" t="s">
        <v>75</v>
      </c>
      <c r="F14" s="10">
        <f t="shared" si="0"/>
        <v>1.0830872E-3</v>
      </c>
    </row>
    <row r="15" spans="1:6" x14ac:dyDescent="0.35">
      <c r="A15" t="s">
        <v>79</v>
      </c>
      <c r="B15">
        <v>5.0000000000000001E-4</v>
      </c>
      <c r="C15" t="s">
        <v>74</v>
      </c>
      <c r="D15" s="7">
        <v>0.82054809999999989</v>
      </c>
      <c r="E15" t="s">
        <v>75</v>
      </c>
      <c r="F15" s="10">
        <f t="shared" si="0"/>
        <v>4.1027404999999993E-4</v>
      </c>
    </row>
    <row r="16" spans="1:6" x14ac:dyDescent="0.35">
      <c r="A16" t="s">
        <v>87</v>
      </c>
      <c r="B16">
        <v>0.11</v>
      </c>
      <c r="C16" t="s">
        <v>74</v>
      </c>
      <c r="D16" s="7">
        <v>4.8755765454545452E-4</v>
      </c>
      <c r="E16" t="s">
        <v>75</v>
      </c>
      <c r="F16" s="10">
        <f t="shared" si="0"/>
        <v>5.3631341999999997E-5</v>
      </c>
    </row>
    <row r="17" spans="6:6" x14ac:dyDescent="0.35">
      <c r="F17" s="7">
        <f>SUM(F2:F16)</f>
        <v>1.5110753060920001</v>
      </c>
    </row>
  </sheetData>
  <sortState xmlns:xlrd2="http://schemas.microsoft.com/office/spreadsheetml/2017/richdata2" ref="A2:F15">
    <sortCondition descending="1" ref="F2:F15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85071711CE4A45B42500DFA915E756" ma:contentTypeVersion="18" ma:contentTypeDescription="Create a new document." ma:contentTypeScope="" ma:versionID="0ffdfdd5723526e84382e7e1ee388aaa">
  <xsd:schema xmlns:xsd="http://www.w3.org/2001/XMLSchema" xmlns:xs="http://www.w3.org/2001/XMLSchema" xmlns:p="http://schemas.microsoft.com/office/2006/metadata/properties" xmlns:ns3="7ed5784c-4c6f-4d46-97dc-4c26ee444e08" xmlns:ns4="ea1cffe9-b1fc-4d09-be3f-916ceaf407fd" targetNamespace="http://schemas.microsoft.com/office/2006/metadata/properties" ma:root="true" ma:fieldsID="bfe2dd5664ea22fdc5af850a88165700" ns3:_="" ns4:_="">
    <xsd:import namespace="7ed5784c-4c6f-4d46-97dc-4c26ee444e08"/>
    <xsd:import namespace="ea1cffe9-b1fc-4d09-be3f-916ceaf407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5784c-4c6f-4d46-97dc-4c26ee444e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cffe9-b1fc-4d09-be3f-916ceaf407f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d5784c-4c6f-4d46-97dc-4c26ee444e08" xsi:nil="true"/>
  </documentManagement>
</p:properties>
</file>

<file path=customXml/itemProps1.xml><?xml version="1.0" encoding="utf-8"?>
<ds:datastoreItem xmlns:ds="http://schemas.openxmlformats.org/officeDocument/2006/customXml" ds:itemID="{80EA428F-32D1-417D-9BFD-A86E684227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B18C9F-8B88-42B3-A963-A13091EADE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d5784c-4c6f-4d46-97dc-4c26ee444e08"/>
    <ds:schemaRef ds:uri="ea1cffe9-b1fc-4d09-be3f-916ceaf407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002B3D-3BF8-4BAA-AFD8-AE87CF7514A6}">
  <ds:schemaRefs>
    <ds:schemaRef ds:uri="ea1cffe9-b1fc-4d09-be3f-916ceaf407fd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infopath/2007/PartnerControls"/>
    <ds:schemaRef ds:uri="7ed5784c-4c6f-4d46-97dc-4c26ee444e08"/>
  </ds:schemaRefs>
</ds:datastoreItem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</vt:lpstr>
      <vt:lpstr>TEA</vt:lpstr>
      <vt:lpstr>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Sadhukhan, Jhuma Prof (Sch of Engineering)</dc:creator>
  <cp:lastModifiedBy>Sadhukhan, Jhuma Prof (Sch of Engineering)</cp:lastModifiedBy>
  <dcterms:created xsi:type="dcterms:W3CDTF">2026-02-15T19:24:55Z</dcterms:created>
  <dcterms:modified xsi:type="dcterms:W3CDTF">2026-03-07T19:38:08Z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0x010100E685071711CE4A45B42500DFA915E756</vt:lpwstr>
  </property>
</Properties>
</file>